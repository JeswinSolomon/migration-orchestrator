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Learning Trac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Pending &amp; Dependenc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9" fontId="0" fillId="0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0" customWidth="1" min="3" max="3"/>
    <col width="48" customWidth="1" min="4" max="4"/>
    <col width="48" customWidth="1" min="5" max="5"/>
    <col width="22" customWidth="1" min="6" max="6"/>
    <col width="14" customWidth="1" min="7" max="7"/>
    <col width="12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Month</t>
        </is>
      </c>
      <c r="C1" s="1" t="inlineStr">
        <is>
          <t>Phase</t>
        </is>
      </c>
      <c r="D1" s="1" t="inlineStr">
        <is>
          <t>FDE Topic</t>
        </is>
      </c>
      <c r="E1" s="1" t="inlineStr">
        <is>
          <t>Project Deliverable</t>
        </is>
      </c>
      <c r="F1" s="1" t="inlineStr">
        <is>
          <t>Stack</t>
        </is>
      </c>
      <c r="G1" s="1" t="inlineStr">
        <is>
          <t>Status</t>
        </is>
      </c>
      <c r="H1" s="1" t="inlineStr">
        <is>
          <t>Done Date</t>
        </is>
      </c>
      <c r="I1" s="1" t="inlineStr">
        <is>
          <t>Notes / Learnings</t>
        </is>
      </c>
    </row>
    <row r="2">
      <c r="A2" s="2" t="n">
        <v>1</v>
      </c>
      <c r="B2" s="2" t="n">
        <v>1</v>
      </c>
      <c r="C2" s="2" t="inlineStr">
        <is>
          <t>Discover</t>
        </is>
      </c>
      <c r="D2" s="2" t="inlineStr">
        <is>
          <t>FDE role, customer discovery, requirements elicitation</t>
        </is>
      </c>
      <c r="E2" s="2" t="inlineStr">
        <is>
          <t>Requirements doc, stakeholder map, success metrics</t>
        </is>
      </c>
      <c r="F2" s="2" t="inlineStr">
        <is>
          <t>Docs</t>
        </is>
      </c>
      <c r="G2" s="2" t="inlineStr">
        <is>
          <t>Done</t>
        </is>
      </c>
      <c r="H2" s="2" t="inlineStr">
        <is>
          <t>2026-10-14</t>
        </is>
      </c>
      <c r="I2" s="2" t="inlineStr">
        <is>
          <t>Requirements + decisions finalized (01-requirements.md)</t>
        </is>
      </c>
    </row>
    <row r="3">
      <c r="A3" s="2" t="n">
        <v>2</v>
      </c>
      <c r="B3" s="2" t="n">
        <v>1</v>
      </c>
      <c r="C3" s="2" t="inlineStr">
        <is>
          <t>Discover</t>
        </is>
      </c>
      <c r="D3" s="2" t="inlineStr">
        <is>
          <t>Legacy data profiling, data quality, schema analysis</t>
        </is>
      </c>
      <c r="E3" s="2" t="inlineStr">
        <is>
          <t>Sample legacy dataset + profiling report</t>
        </is>
      </c>
      <c r="F3" s="2" t="inlineStr">
        <is>
          <t>Python, Oracle</t>
        </is>
      </c>
      <c r="G3" s="2" t="inlineStr">
        <is>
          <t>Done</t>
        </is>
      </c>
      <c r="H3" s="2" t="inlineStr">
        <is>
          <t>2026-10-14</t>
        </is>
      </c>
      <c r="I3" s="2" t="inlineStr">
        <is>
          <t>Profile + cleansing plan: docs/02-*.md</t>
        </is>
      </c>
    </row>
    <row r="4">
      <c r="A4" s="2" t="n">
        <v>3</v>
      </c>
      <c r="B4" s="2" t="n">
        <v>1</v>
      </c>
      <c r="C4" s="2" t="inlineStr">
        <is>
          <t>Design</t>
        </is>
      </c>
      <c r="D4" s="2" t="inlineStr">
        <is>
          <t>System design, ADRs, risk register</t>
        </is>
      </c>
      <c r="E4" s="2" t="inlineStr">
        <is>
          <t>Architecture doc, ADRs, risk register</t>
        </is>
      </c>
      <c r="F4" s="2" t="inlineStr">
        <is>
          <t>Docs</t>
        </is>
      </c>
      <c r="G4" s="2" t="inlineStr">
        <is>
          <t>Done</t>
        </is>
      </c>
      <c r="H4" s="2" t="inlineStr">
        <is>
          <t>2026-10-14</t>
        </is>
      </c>
      <c r="I4" s="2" t="inlineStr">
        <is>
          <t>docs/03-architecture.md with 6 ADRs, state machine</t>
        </is>
      </c>
    </row>
    <row r="5">
      <c r="A5" s="2" t="n">
        <v>4</v>
      </c>
      <c r="B5" s="2" t="n">
        <v>2</v>
      </c>
      <c r="C5" s="2" t="inlineStr">
        <is>
          <t>Design</t>
        </is>
      </c>
      <c r="D5" s="2" t="inlineStr">
        <is>
          <t>Data modeling, Liquibase, multi-tenancy</t>
        </is>
      </c>
      <c r="E5" s="2" t="inlineStr">
        <is>
          <t>Oracle schema + changelogs, tenant model</t>
        </is>
      </c>
      <c r="F5" s="2" t="inlineStr">
        <is>
          <t>Oracle, Liquibase</t>
        </is>
      </c>
      <c r="G5" s="2" t="inlineStr">
        <is>
          <t>Done</t>
        </is>
      </c>
      <c r="H5" s="2" t="inlineStr">
        <is>
          <t>2026-10-14</t>
        </is>
      </c>
      <c r="I5" s="2" t="inlineStr">
        <is>
          <t>Liquibase changelogs (9 tables)</t>
        </is>
      </c>
    </row>
    <row r="6">
      <c r="A6" s="2" t="n">
        <v>5</v>
      </c>
      <c r="B6" s="2" t="n">
        <v>2</v>
      </c>
      <c r="C6" s="2" t="inlineStr">
        <is>
          <t>Design</t>
        </is>
      </c>
      <c r="D6" s="2" t="inlineStr">
        <is>
          <t>API design, OpenAPI, event contracts</t>
        </is>
      </c>
      <c r="E6" s="2" t="inlineStr">
        <is>
          <t>OpenAPI specs, Kafka topic/event schemas</t>
        </is>
      </c>
      <c r="F6" s="2" t="inlineStr">
        <is>
          <t>Spring Boot, Kafka</t>
        </is>
      </c>
      <c r="G6" s="2" t="inlineStr">
        <is>
          <t>Done</t>
        </is>
      </c>
      <c r="H6" s="2" t="inlineStr">
        <is>
          <t>2026-10-14</t>
        </is>
      </c>
      <c r="I6" s="2" t="inlineStr">
        <is>
          <t>docs/contracts: OpenAPI + Kafka events</t>
        </is>
      </c>
    </row>
    <row r="7">
      <c r="A7" s="2" t="n">
        <v>6</v>
      </c>
      <c r="B7" s="2" t="n">
        <v>2</v>
      </c>
      <c r="C7" s="2" t="inlineStr">
        <is>
          <t>Build</t>
        </is>
      </c>
      <c r="D7" s="2" t="inlineStr">
        <is>
          <t>Project skeleton, CI, Docker, config mgmt</t>
        </is>
      </c>
      <c r="E7" s="2" t="inlineStr">
        <is>
          <t>Mono-repo, docker-compose, CI pipeline</t>
        </is>
      </c>
      <c r="F7" s="2" t="inlineStr">
        <is>
          <t>Docker</t>
        </is>
      </c>
      <c r="G7" s="2" t="inlineStr">
        <is>
          <t>Done</t>
        </is>
      </c>
      <c r="H7" s="2" t="inlineStr">
        <is>
          <t>2026-10-14</t>
        </is>
      </c>
      <c r="I7" s="2" t="inlineStr">
        <is>
          <t>3 services scaffolded + tested/built, CI file added. Docker compose for Kafka/Debezium still pending (Docker not installed)</t>
        </is>
      </c>
    </row>
    <row r="8">
      <c r="A8" s="2" t="n">
        <v>7</v>
      </c>
      <c r="B8" s="2" t="n">
        <v>3</v>
      </c>
      <c r="C8" s="2" t="inlineStr">
        <is>
          <t>Build</t>
        </is>
      </c>
      <c r="D8" s="2" t="inlineStr">
        <is>
          <t>Bulk load, batching, performance tuning</t>
        </is>
      </c>
      <c r="E8" s="2" t="inlineStr">
        <is>
          <t>Initial-load engine</t>
        </is>
      </c>
      <c r="F8" s="2" t="inlineStr">
        <is>
          <t>Spring Boot, Oracle</t>
        </is>
      </c>
      <c r="G8" s="2" t="inlineStr">
        <is>
          <t>Done</t>
        </is>
      </c>
      <c r="H8" s="2" t="inlineStr">
        <is>
          <t>2026-10-14</t>
        </is>
      </c>
      <c r="I8" s="2" t="inlineStr">
        <is>
          <t>66k rows on H2: per-row 5.3s vs JDBC batch 5.0s (in-memory DB has no network cost, so little gain). Batch mode is default (migration.load.batch-insert), per-row kept as fallback; both tested. Real gain must be measured on Oracle</t>
        </is>
      </c>
    </row>
    <row r="9">
      <c r="A9" s="2" t="n">
        <v>8</v>
      </c>
      <c r="B9" s="2" t="n">
        <v>3</v>
      </c>
      <c r="C9" s="2" t="inlineStr">
        <is>
          <t>Build</t>
        </is>
      </c>
      <c r="D9" s="2" t="inlineStr">
        <is>
          <t>CDC, Kafka, ordering, idempotency</t>
        </is>
      </c>
      <c r="E9" s="2" t="inlineStr">
        <is>
          <t>CDC sync pipeline with replay</t>
        </is>
      </c>
      <c r="F9" s="2" t="inlineStr">
        <is>
          <t>Kafka</t>
        </is>
      </c>
      <c r="G9" s="2" t="inlineStr">
        <is>
          <t>Blocked</t>
        </is>
      </c>
      <c r="H9" s="2" t="inlineStr"/>
      <c r="I9" s="2" t="inlineStr">
        <is>
          <t>Needs Docker (Kafka/Debezium/Postgres)</t>
        </is>
      </c>
    </row>
    <row r="10">
      <c r="A10" s="2" t="n">
        <v>9</v>
      </c>
      <c r="B10" s="2" t="n">
        <v>3</v>
      </c>
      <c r="C10" s="2" t="inlineStr">
        <is>
          <t>Build</t>
        </is>
      </c>
      <c r="D10" s="2" t="inlineStr">
        <is>
          <t>Schema mapping, transformations, validation</t>
        </is>
      </c>
      <c r="E10" s="2" t="inlineStr">
        <is>
          <t>Mapping engine + AI mapping suggester</t>
        </is>
      </c>
      <c r="F10" s="2" t="inlineStr">
        <is>
          <t>FastAPI, Spring Boot</t>
        </is>
      </c>
      <c r="G10" s="2" t="inlineStr">
        <is>
          <t>Done</t>
        </is>
      </c>
      <c r="H10" s="2" t="inlineStr">
        <is>
          <t>2026-10-14</t>
        </is>
      </c>
      <c r="I10" s="2" t="inlineStr">
        <is>
          <t>Wired end to end: orchestrator calls ai-service, humans approve in MIG_MAPPING, loader reads approved mappings for BORROWER (renamed-column fixture tests, 19 Java tests). Other entities use fixed columns; no real LLM tried</t>
        </is>
      </c>
    </row>
    <row r="11">
      <c r="A11" s="2" t="n">
        <v>10</v>
      </c>
      <c r="B11" s="2" t="n">
        <v>4</v>
      </c>
      <c r="C11" s="2" t="inlineStr">
        <is>
          <t>Build</t>
        </is>
      </c>
      <c r="D11" s="2" t="inlineStr">
        <is>
          <t>Shadow read, diffing, reconciliation</t>
        </is>
      </c>
      <c r="E11" s="2" t="inlineStr">
        <is>
          <t>Reconciliation + diff engine, reports</t>
        </is>
      </c>
      <c r="F11" s="2" t="inlineStr">
        <is>
          <t>Spring Boot, Oracle</t>
        </is>
      </c>
      <c r="G11" s="2" t="inlineStr">
        <is>
          <t>Done</t>
        </is>
      </c>
      <c r="H11" s="2" t="inlineStr"/>
      <c r="I11" s="2" t="inlineStr">
        <is>
          <t>Reconciliation (counts+sums) plus field-level shadow read (GET /shadow-diff); READY blocked on any mismatch. Tested incl. injected drift. Not timed on 66k rows or Oracle</t>
        </is>
      </c>
    </row>
    <row r="12">
      <c r="A12" s="2" t="n">
        <v>11</v>
      </c>
      <c r="B12" s="2" t="n">
        <v>4</v>
      </c>
      <c r="C12" s="2" t="inlineStr">
        <is>
          <t>Build</t>
        </is>
      </c>
      <c r="D12" s="2" t="inlineStr">
        <is>
          <t>Cutover, rollback, feature flags, runbooks</t>
        </is>
      </c>
      <c r="E12" s="2" t="inlineStr">
        <is>
          <t>Cutover/rollback orchestrator + runbook</t>
        </is>
      </c>
      <c r="F12" s="2" t="inlineStr">
        <is>
          <t>Spring Boot</t>
        </is>
      </c>
      <c r="G12" s="2" t="inlineStr">
        <is>
          <t>Done</t>
        </is>
      </c>
      <c r="H12" s="2" t="inlineStr">
        <is>
          <t>2026-10-14</t>
        </is>
      </c>
      <c r="I12" s="2" t="inlineStr">
        <is>
          <t>Done on H2: state machine with 3 pre-checks (mappings, shadow, reconciliation), approval gate, rollback only from FREEZE/FINAL_SYNC/SWITCHED/MONITOR, audit trail, runbook docs/04. Corners: ROLLED_BACK is terminal; guarded UPDATE stops racing transitions (no concurrency test, gap G7). Missing: feature flags, real traffic switch.</t>
        </is>
      </c>
    </row>
    <row r="13">
      <c r="A13" s="2" t="n">
        <v>12</v>
      </c>
      <c r="B13" s="2" t="n">
        <v>4</v>
      </c>
      <c r="C13" s="2" t="inlineStr">
        <is>
          <t>Build</t>
        </is>
      </c>
      <c r="D13" s="2" t="inlineStr">
        <is>
          <t>Resilience: retries, DLQ, backpressure</t>
        </is>
      </c>
      <c r="E13" s="2" t="inlineStr">
        <is>
          <t>Failure handling + chaos tests</t>
        </is>
      </c>
      <c r="F13" s="2" t="inlineStr">
        <is>
          <t>Kafka</t>
        </is>
      </c>
      <c r="G13" s="2" t="inlineStr">
        <is>
          <t>In Progress</t>
        </is>
      </c>
      <c r="H13" s="2" t="inlineStr"/>
      <c r="I13" s="2" t="inlineStr">
        <is>
          <t>Done: AI client retries 5xx/network errors with exponential backoff (3 attempts, 200ms), never retries 4xx, then 502; LLM failure falls back to rules; per-batch transactions make the load restartable. Blocked (needs Kafka/Docker): DLQ, backpressure, consumer retries. Chaos coverage is limited to AI-down and LLM-down.</t>
        </is>
      </c>
    </row>
    <row r="14">
      <c r="A14" s="2" t="n">
        <v>13</v>
      </c>
      <c r="B14" s="2" t="n">
        <v>5</v>
      </c>
      <c r="C14" s="2" t="inlineStr">
        <is>
          <t>Build</t>
        </is>
      </c>
      <c r="D14" s="2" t="inlineStr">
        <is>
          <t>Observability: logs, metrics, traces, alerts</t>
        </is>
      </c>
      <c r="E14" s="2" t="inlineStr">
        <is>
          <t>Datadog/Prometheus dashboards, alerts</t>
        </is>
      </c>
      <c r="F14" s="2" t="inlineStr">
        <is>
          <t>Datadog</t>
        </is>
      </c>
      <c r="G14" s="2" t="inlineStr">
        <is>
          <t>In Progress</t>
        </is>
      </c>
      <c r="H14" s="2" t="inlineStr"/>
      <c r="I14" s="2" t="inlineStr">
        <is>
          <t>Done: Micrometer counters migration.rows (entity,outcome), migration.rows.quarantined (entity,reason), migration.precheck.failed (check), migration.transitions (to), timer migration.load.duration; read at /actuator/metrics. Counted after commit so rolled-back batches are never counted. Not built: Prometheus/Datadog export, dashboards, traces, alert rules, structured logs.</t>
        </is>
      </c>
    </row>
    <row r="15">
      <c r="A15" s="2" t="n">
        <v>14</v>
      </c>
      <c r="B15" s="2" t="n">
        <v>5</v>
      </c>
      <c r="C15" s="2" t="inlineStr">
        <is>
          <t>Build</t>
        </is>
      </c>
      <c r="D15" s="2" t="inlineStr">
        <is>
          <t>LLM tool-calling, RAG, guardrails, evals</t>
        </is>
      </c>
      <c r="E15" s="2" t="inlineStr">
        <is>
          <t>AI diagnosis agent (read-only tools, approval gate)</t>
        </is>
      </c>
      <c r="F15" s="2" t="inlineStr">
        <is>
          <t>FastAPI, LLM</t>
        </is>
      </c>
      <c r="G15" s="2" t="inlineStr">
        <is>
          <t>Done</t>
        </is>
      </c>
      <c r="H15" s="2" t="inlineStr">
        <is>
          <t>2026-10-14</t>
        </is>
      </c>
      <c r="I15" s="2" t="inlineStr">
        <is>
          <t>Rules-first agent: 6 allow-listed GET tools (get_run/reconciliation/exceptions/audit/mappings/shadow_diff). 13 causes incl. UNKNOWN (abstains). Symptom text outranks evidence patterns; dominant-exception threshold 50%. Shadow diff read only if something loaded. Partial tool failures recorded in evidence.errors, missing run -&gt; 404, orchestrator down -&gt; 502. Actions always requires_approval=True. LLM only narrates a PII-free summary; failure falls back to rules (llm_used=false). Symptom capped at 500 chars. 16/16 eval, 20 pytest, live-checked. Real LLM not tried.</t>
        </is>
      </c>
    </row>
    <row r="16">
      <c r="A16" s="2" t="n">
        <v>15</v>
      </c>
      <c r="B16" s="2" t="n">
        <v>5</v>
      </c>
      <c r="C16" s="2" t="inlineStr">
        <is>
          <t>Build</t>
        </is>
      </c>
      <c r="D16" s="2" t="inlineStr">
        <is>
          <t>React/TypeScript UI, UX for operators</t>
        </is>
      </c>
      <c r="E16" s="2" t="inlineStr">
        <is>
          <t>Migration console: progress, diffs, agent chat</t>
        </is>
      </c>
      <c r="F16" s="2" t="inlineStr">
        <is>
          <t>React, TS</t>
        </is>
      </c>
      <c r="G16" s="2" t="inlineStr">
        <is>
          <t>Done</t>
        </is>
      </c>
      <c r="H16" s="2" t="inlineStr">
        <is>
          <t>2026-10-14</t>
        </is>
      </c>
      <c r="I16" s="2" t="inlineStr">
        <is>
          <t>Console complete: runs, stepper, badges, reconciliation, exceptions, mapping review, Diagnose panel, 5s polling, errors with role=alert. 19 unit tests + 2 Playwright e2e (real browser), screenshot in docs/screenshots. Gaps: no login (security S1), e2e needs ports 8081/8000/5173 free, desktop layout only.</t>
        </is>
      </c>
    </row>
    <row r="17">
      <c r="A17" s="2" t="n">
        <v>16</v>
      </c>
      <c r="B17" s="2" t="n">
        <v>6</v>
      </c>
      <c r="C17" s="2" t="inlineStr">
        <is>
          <t>Test</t>
        </is>
      </c>
      <c r="D17" s="2" t="inlineStr">
        <is>
          <t>Test strategy, contract, load, chaos, DR drill</t>
        </is>
      </c>
      <c r="E17" s="2" t="inlineStr">
        <is>
          <t>Test reports, rollback drill, load results</t>
        </is>
      </c>
      <c r="F17" s="2" t="inlineStr">
        <is>
          <t>JUnit, k6, pytest</t>
        </is>
      </c>
      <c r="G17" s="2" t="inlineStr">
        <is>
          <t>Done</t>
        </is>
      </c>
      <c r="H17" s="2" t="inlineStr">
        <is>
          <t>2026-10-14</t>
        </is>
      </c>
      <c r="I17" s="2" t="inlineStr">
        <is>
          <t>docs/05: 39 Java, 27 Python, 23 console, 3 e2e (94 total) (Edge) + 16-scenario agent eval, all green on H2. Authentication added: Basic auth, roles OPERATOR/REVIEWER/APPROVER/READER, actor from login, SWITCHED needs APPROVER, no default DB password, agent uses READER service account (docs/06 S1, S2 closed in code). Lesson: a 401 with WWW-Authenticate makes browsers hang on fetch, so the API sends a bare 401 and the console verifies credentials at sign-in. Gaps: no Oracle run, no contract tests, no k6 load test, no CDC, no real LLM (Zscaler), no concurrency test. Added: ConcurrentTransitionTest (6 racing callers, 1 winner, 5 x 409) and ApiContractTest (code vs OpenAPI endpoints; found 6 undocumented endpoints). G2 partly and G7 closed.</t>
        </is>
      </c>
    </row>
    <row r="18">
      <c r="A18" s="2" t="n">
        <v>17</v>
      </c>
      <c r="B18" s="2" t="n">
        <v>6</v>
      </c>
      <c r="C18" s="2" t="inlineStr">
        <is>
          <t>Test</t>
        </is>
      </c>
      <c r="D18" s="2" t="inlineStr">
        <is>
          <t>Security: authn/z, secrets, audit, PII</t>
        </is>
      </c>
      <c r="E18" s="2" t="inlineStr">
        <is>
          <t>Security review + fixes</t>
        </is>
      </c>
      <c r="F18" s="2" t="inlineStr">
        <is>
          <t>Spring Security</t>
        </is>
      </c>
      <c r="G18" s="2" t="inlineStr">
        <is>
          <t>In Progress</t>
        </is>
      </c>
      <c r="H18" s="2" t="inlineStr"/>
      <c r="I18" s="2" t="inlineStr">
        <is>
          <t>docs/06-security-review.md: controls proven by tests (read-only agent, PII-free LLM prompts, no raw rows in API, parameterised SQL, approval gates, audit). Findings S1-S9: S1 no authn/z (approver is typed text) and S2 default DB password block real data. Fixes not yet applied. Update: checklist now 13 items; CI green on GitHub (G6 closed); demo script docs/08; repo public at github.com/jeswinstaynes01-dev/migration-orchestrator. FR1 data profiling now built: GET /api/runs/{id}/profile (null rates, duplicates, date-format mix, counts only so PII-free) plus console Data profile panel; tests ProfileServiceTest and ProfilePanel.test.</t>
        </is>
      </c>
    </row>
    <row r="19">
      <c r="A19" s="2" t="n">
        <v>18</v>
      </c>
      <c r="B19" s="2" t="n">
        <v>6</v>
      </c>
      <c r="C19" s="2" t="inlineStr">
        <is>
          <t>Signoff</t>
        </is>
      </c>
      <c r="D19" s="2" t="inlineStr">
        <is>
          <t>Deployment, handover, customer comms</t>
        </is>
      </c>
      <c r="E19" s="2" t="inlineStr">
        <is>
          <t>Deploy guide, ops handbook, demo, signoff</t>
        </is>
      </c>
      <c r="F19" s="2" t="inlineStr">
        <is>
          <t>Docs</t>
        </is>
      </c>
      <c r="G19" s="2" t="inlineStr">
        <is>
          <t>In Progress</t>
        </is>
      </c>
      <c r="H19" s="2" t="inlineStr"/>
      <c r="I19" s="2" t="inlineStr">
        <is>
          <t>docs/07-deployment-handover-signoff.md: deploy guide, config table, ops handbook with metrics and symptom table, 15-min demo script, COO status update, signoff checklist. Verdict: demo-ready, NOT production-ready. Open: Oracle rehearsal, CDC, authn, named customer approver, CI on GitHub.</t>
        </is>
      </c>
    </row>
  </sheetData>
  <dataValidations count="1">
    <dataValidation sqref="G2:G19" showDropDown="0" showInputMessage="0" showErrorMessage="0" allowBlank="0" type="list">
      <formula1>"Not Started,In Progress,Done,Blocked"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34" customWidth="1" min="3" max="3"/>
    <col width="38" customWidth="1" min="4" max="4"/>
    <col width="55" customWidth="1" min="5" max="5"/>
    <col width="60" customWidth="1" min="6" max="6"/>
    <col width="24" customWidth="1" min="7" max="7"/>
    <col width="14" customWidth="1" min="8" max="8"/>
    <col width="40" customWidth="1" min="9" max="9"/>
  </cols>
  <sheetData>
    <row r="1">
      <c r="A1" s="4" t="inlineStr">
        <is>
          <t>#</t>
        </is>
      </c>
      <c r="B1" s="4" t="inlineStr">
        <is>
          <t>Area</t>
        </is>
      </c>
      <c r="C1" s="4" t="inlineStr">
        <is>
          <t>Technology / Topic</t>
        </is>
      </c>
      <c r="D1" s="4" t="inlineStr">
        <is>
          <t>Where in this project</t>
        </is>
      </c>
      <c r="E1" s="4" t="inlineStr">
        <is>
          <t>Hands-on trace exercise</t>
        </is>
      </c>
      <c r="F1" s="4" t="inlineStr">
        <is>
          <t>Interview questions you must answer</t>
        </is>
      </c>
      <c r="G1" s="4" t="inlineStr">
        <is>
          <t>Project status</t>
        </is>
      </c>
      <c r="H1" s="4" t="inlineStr">
        <is>
          <t>Confidence (1-5)</t>
        </is>
      </c>
      <c r="I1" s="4" t="inlineStr">
        <is>
          <t>My notes / STAR story</t>
        </is>
      </c>
    </row>
    <row r="2">
      <c r="A2" s="2" t="n">
        <v>1</v>
      </c>
      <c r="B2" s="2" t="inlineStr">
        <is>
          <t>FDE core</t>
        </is>
      </c>
      <c r="C2" s="2" t="inlineStr">
        <is>
          <t>Requirements discovery</t>
        </is>
      </c>
      <c r="D2" s="2" t="inlineStr">
        <is>
          <t>docs/01-requirements.md</t>
        </is>
      </c>
      <c r="E2" s="2" t="inlineStr">
        <is>
          <t>Rewrite the 5 goals as a customer email; list 3 questions you'd ask on a discovery call.</t>
        </is>
      </c>
      <c r="F2" s="2" t="inlineStr">
        <is>
          <t>How do you turn a vague customer complaint into measurable requirements? What do you do when requirements conflict?</t>
        </is>
      </c>
      <c r="G2" s="2" t="inlineStr">
        <is>
          <t>Done</t>
        </is>
      </c>
      <c r="H2" s="2" t="inlineStr"/>
      <c r="I2" s="2" t="inlineStr"/>
    </row>
    <row r="3">
      <c r="A3" s="2" t="n">
        <v>2</v>
      </c>
      <c r="B3" s="2" t="inlineStr">
        <is>
          <t>FDE core</t>
        </is>
      </c>
      <c r="C3" s="2" t="inlineStr">
        <is>
          <t>Data profiling &amp; quality</t>
        </is>
      </c>
      <c r="D3" s="2" t="inlineStr">
        <is>
          <t>legacy-data/profile_legacy_data.py, docs/02-data-profile.md</t>
        </is>
      </c>
      <c r="E3" s="2" t="inlineStr">
        <is>
          <t>Add a new anomaly to the generator (e.g. duplicate payments), then make the profiler detect it.</t>
        </is>
      </c>
      <c r="F3" s="2" t="inlineStr">
        <is>
          <t>A customer gives you messy data. What are your first 5 steps? How do you decide fix vs quarantine vs ask?</t>
        </is>
      </c>
      <c r="G3" s="2" t="inlineStr">
        <is>
          <t>Done</t>
        </is>
      </c>
      <c r="H3" s="2" t="inlineStr"/>
      <c r="I3" s="2" t="inlineStr">
        <is>
          <t xml:space="preserve"> Update: profiling is now an API (/api/runs/{id}/profile) and a console panel; reports counts only (no raw values) so it is PII-free; tested by ProfileServiceTest.</t>
        </is>
      </c>
    </row>
    <row r="4">
      <c r="A4" s="2" t="n">
        <v>3</v>
      </c>
      <c r="B4" s="2" t="inlineStr">
        <is>
          <t>FDE core</t>
        </is>
      </c>
      <c r="C4" s="2" t="inlineStr">
        <is>
          <t>Cleansing &amp; mapping decisions</t>
        </is>
      </c>
      <c r="D4" s="2" t="inlineStr">
        <is>
          <t>docs/02-cleansing-plan.md</t>
        </is>
      </c>
      <c r="E4" s="2" t="inlineStr">
        <is>
          <t>Pick 3 rows from the plan and justify each decision to a skeptical finance lead.</t>
        </is>
      </c>
      <c r="F4" s="2" t="inlineStr">
        <is>
          <t>Why not silently fix money data? How do you get customer sign-off on data decisions?</t>
        </is>
      </c>
      <c r="G4" s="2" t="inlineStr">
        <is>
          <t>Done</t>
        </is>
      </c>
      <c r="H4" s="2" t="inlineStr"/>
      <c r="I4" s="2" t="inlineStr"/>
    </row>
    <row r="5">
      <c r="A5" s="2" t="n">
        <v>4</v>
      </c>
      <c r="B5" s="2" t="inlineStr">
        <is>
          <t>FDE core</t>
        </is>
      </c>
      <c r="C5" s="2" t="inlineStr">
        <is>
          <t>ADRs &amp; trade-offs</t>
        </is>
      </c>
      <c r="D5" s="2" t="inlineStr">
        <is>
          <t>docs/03-architecture.md (6 ADRs)</t>
        </is>
      </c>
      <c r="E5" s="2" t="inlineStr">
        <is>
          <t>Write ADR-7 on your own: why batch size 1000 and per-batch transactions?</t>
        </is>
      </c>
      <c r="F5" s="2" t="inlineStr">
        <is>
          <t>Tell me about a design decision you made and the trade-off. Why CDC over dual-write?</t>
        </is>
      </c>
      <c r="G5" s="2" t="inlineStr">
        <is>
          <t>Done</t>
        </is>
      </c>
      <c r="H5" s="2" t="inlineStr"/>
      <c r="I5" s="2" t="inlineStr"/>
    </row>
    <row r="6">
      <c r="A6" s="2" t="n">
        <v>5</v>
      </c>
      <c r="B6" s="2" t="inlineStr">
        <is>
          <t>Data / DB</t>
        </is>
      </c>
      <c r="C6" s="2" t="inlineStr">
        <is>
          <t>Oracle data modeling &amp; constraints</t>
        </is>
      </c>
      <c r="D6" s="2" t="inlineStr">
        <is>
          <t>orchestrator-service/.../001-business-tables.yaml</t>
        </is>
      </c>
      <c r="E6" s="2" t="inlineStr">
        <is>
          <t>Add a CHECK that AMOUNT &gt;= 0 on PAYMENT via a new changelog. Observe what breaks.</t>
        </is>
      </c>
      <c r="F6" s="2" t="inlineStr">
        <is>
          <t>PK/FK/check constraints? Why NUMBER(14,2) for money? Why a tenant column on every table?</t>
        </is>
      </c>
      <c r="G6" s="2" t="inlineStr">
        <is>
          <t>Done</t>
        </is>
      </c>
      <c r="H6" s="2" t="inlineStr"/>
      <c r="I6" s="2" t="inlineStr"/>
    </row>
    <row r="7">
      <c r="A7" s="2" t="n">
        <v>6</v>
      </c>
      <c r="B7" s="2" t="inlineStr">
        <is>
          <t>Data / DB</t>
        </is>
      </c>
      <c r="C7" s="2" t="inlineStr">
        <is>
          <t>Liquibase migrations</t>
        </is>
      </c>
      <c r="D7" s="2" t="inlineStr">
        <is>
          <t>db/changelog/*.yaml, SchemaMigrationTest</t>
        </is>
      </c>
      <c r="E7" s="2" t="inlineStr">
        <is>
          <t>Write a changeSet that adds a column, run the test, then try to edit an already-run changeSet and read the checksum error.</t>
        </is>
      </c>
      <c r="F7" s="2" t="inlineStr">
        <is>
          <t>Why never edit an applied changeSet? How do you roll back a schema change safely?</t>
        </is>
      </c>
      <c r="G7" s="2" t="inlineStr">
        <is>
          <t>Done</t>
        </is>
      </c>
      <c r="H7" s="2" t="inlineStr"/>
      <c r="I7" s="2" t="inlineStr"/>
    </row>
    <row r="8">
      <c r="A8" s="2" t="n">
        <v>7</v>
      </c>
      <c r="B8" s="2" t="inlineStr">
        <is>
          <t>Data / DB</t>
        </is>
      </c>
      <c r="C8" s="2" t="inlineStr">
        <is>
          <t>Idempotency &amp; restartability</t>
        </is>
      </c>
      <c r="D8" s="2" t="inlineStr">
        <is>
          <t>load/BulkLoader.java (MIG_ID_XREF), BulkLoaderTest</t>
        </is>
      </c>
      <c r="E8" s="2" t="inlineStr">
        <is>
          <t>Kill the loader mid-run (throw in a batch) and re-run; prove no duplicates.</t>
        </is>
      </c>
      <c r="F8" s="2" t="inlineStr">
        <is>
          <t>How do you make a data load safe to retry? Explain at-least-once vs exactly-once.</t>
        </is>
      </c>
      <c r="G8" s="2" t="inlineStr">
        <is>
          <t>Done</t>
        </is>
      </c>
      <c r="H8" s="2" t="inlineStr"/>
      <c r="I8" s="2" t="inlineStr"/>
    </row>
    <row r="9">
      <c r="A9" s="2" t="n">
        <v>8</v>
      </c>
      <c r="B9" s="2" t="inlineStr">
        <is>
          <t>Data / DB</t>
        </is>
      </c>
      <c r="C9" s="2" t="inlineStr">
        <is>
          <t>Bulk performance tuning</t>
        </is>
      </c>
      <c r="D9" s="2" t="inlineStr">
        <is>
          <t>load/BulkLoader.java (per-row insert)</t>
        </is>
      </c>
      <c r="E9" s="2" t="inlineStr">
        <is>
          <t>Load the 66k-row dataset, time it, switch to JDBC batchUpdate, compare.</t>
        </is>
      </c>
      <c r="F9" s="2" t="inlineStr">
        <is>
          <t>A load is too slow. How do you find and fix the bottleneck? Batch size trade-offs?</t>
        </is>
      </c>
      <c r="G9" s="2" t="inlineStr">
        <is>
          <t>Done on H2: batchUpdate + generated keys implemented, 5.3s -&gt; 5.0s only (no network latency). Lesson: measure on the real DB. Oracle timing pending</t>
        </is>
      </c>
      <c r="H9" s="2" t="inlineStr"/>
      <c r="I9" s="2" t="inlineStr"/>
    </row>
    <row r="10">
      <c r="A10" s="2" t="n">
        <v>9</v>
      </c>
      <c r="B10" s="2" t="inlineStr">
        <is>
          <t>Backend</t>
        </is>
      </c>
      <c r="C10" s="2" t="inlineStr">
        <is>
          <t>Spring Boot, DI, config</t>
        </is>
      </c>
      <c r="D10" s="2" t="inlineStr">
        <is>
          <t>OrchestratorApplication.java, application.yml</t>
        </is>
      </c>
      <c r="E10" s="2" t="inlineStr">
        <is>
          <t>Add a profile 'oracle' vs 'test' and switch DB with an env variable.</t>
        </is>
      </c>
      <c r="F10" s="2" t="inlineStr">
        <is>
          <t>How does Spring wire beans? Where should secrets and config live?</t>
        </is>
      </c>
      <c r="G10" s="2" t="inlineStr">
        <is>
          <t>Done</t>
        </is>
      </c>
      <c r="H10" s="2" t="inlineStr"/>
      <c r="I10" s="2" t="inlineStr"/>
    </row>
    <row r="11">
      <c r="A11" s="2" t="n">
        <v>10</v>
      </c>
      <c r="B11" s="2" t="inlineStr">
        <is>
          <t>Backend</t>
        </is>
      </c>
      <c r="C11" s="2" t="inlineStr">
        <is>
          <t>Transactions (programmatic vs @Transactional)</t>
        </is>
      </c>
      <c r="D11" s="2" t="inlineStr">
        <is>
          <t>BulkLoader.processBatch (TransactionTemplate)</t>
        </is>
      </c>
      <c r="E11" s="2" t="inlineStr">
        <is>
          <t>Replace TransactionTemplate with @Transactional on a method in the same class; see why self-invocation fails.</t>
        </is>
      </c>
      <c r="F11" s="2" t="inlineStr">
        <is>
          <t>Why does @Transactional not work on self-calls? What is the cost of one big transaction?</t>
        </is>
      </c>
      <c r="G11" s="2" t="inlineStr">
        <is>
          <t>Done</t>
        </is>
      </c>
      <c r="H11" s="2" t="inlineStr"/>
      <c r="I11" s="2" t="inlineStr"/>
    </row>
    <row r="12">
      <c r="A12" s="2" t="n">
        <v>11</v>
      </c>
      <c r="B12" s="2" t="inlineStr">
        <is>
          <t>Backend</t>
        </is>
      </c>
      <c r="C12" s="2" t="inlineStr">
        <is>
          <t>Parsing &amp; validation (pure functions)</t>
        </is>
      </c>
      <c r="D12" s="2" t="inlineStr">
        <is>
          <t>load/LegacyValueParser.java + test</t>
        </is>
      </c>
      <c r="E12" s="2" t="inlineStr">
        <is>
          <t>Add a new date format and a test that fails first (TDD).</t>
        </is>
      </c>
      <c r="F12" s="2" t="inlineStr">
        <is>
          <t>How do you design testable transformation code? What are two-digit-year pitfalls?</t>
        </is>
      </c>
      <c r="G12" s="2" t="inlineStr">
        <is>
          <t>Done</t>
        </is>
      </c>
      <c r="H12" s="2" t="inlineStr"/>
      <c r="I12" s="2" t="inlineStr"/>
    </row>
    <row r="13">
      <c r="A13" s="2" t="n">
        <v>12</v>
      </c>
      <c r="B13" s="2" t="inlineStr">
        <is>
          <t>Backend</t>
        </is>
      </c>
      <c r="C13" s="2" t="inlineStr">
        <is>
          <t>REST API &amp; OpenAPI design</t>
        </is>
      </c>
      <c r="D13" s="2" t="inlineStr">
        <is>
          <t>docs/contracts/orchestrator-openapi.yaml</t>
        </is>
      </c>
      <c r="E13" s="2" t="inlineStr">
        <is>
          <t>Implement POST /api/runs and GET /api/runs/{id} against the contract.</t>
        </is>
      </c>
      <c r="F13" s="2" t="inlineStr">
        <is>
          <t>Contract-first vs code-first? What status codes for pre-check failure vs approval required?</t>
        </is>
      </c>
      <c r="G13" s="2" t="inlineStr">
        <is>
          <t>Done (9 endpoints, MockMvc tests)</t>
        </is>
      </c>
      <c r="H13" s="2" t="inlineStr"/>
      <c r="I13" s="2" t="inlineStr"/>
    </row>
    <row r="14">
      <c r="A14" s="2" t="n">
        <v>13</v>
      </c>
      <c r="B14" s="2" t="inlineStr">
        <is>
          <t>Backend</t>
        </is>
      </c>
      <c r="C14" s="2" t="inlineStr">
        <is>
          <t>State machine for cutover</t>
        </is>
      </c>
      <c r="D14" s="2" t="inlineStr">
        <is>
          <t>docs/03-architecture.md section 3</t>
        </is>
      </c>
      <c r="E14" s="2" t="inlineStr">
        <is>
          <t>Implement the transition table with pre-checks and an approval gate; test illegal transitions.</t>
        </is>
      </c>
      <c r="F14" s="2" t="inlineStr">
        <is>
          <t>How do you model a risky multi-step process? Where is rollback possible and why?</t>
        </is>
      </c>
      <c r="G14" s="2" t="inlineStr">
        <is>
          <t>Done (RunState + approval gate + tests)</t>
        </is>
      </c>
      <c r="H14" s="2" t="inlineStr"/>
      <c r="I14" s="2" t="inlineStr"/>
    </row>
    <row r="15">
      <c r="A15" s="2" t="n">
        <v>14</v>
      </c>
      <c r="B15" s="2" t="inlineStr">
        <is>
          <t>Streaming</t>
        </is>
      </c>
      <c r="C15" s="2" t="inlineStr">
        <is>
          <t>Kafka fundamentals (keys, partitions, offsets)</t>
        </is>
      </c>
      <c r="D15" s="2" t="inlineStr">
        <is>
          <t>docs/contracts/kafka-events.md</t>
        </is>
      </c>
      <c r="E15" s="2" t="inlineStr">
        <is>
          <t>Produce 100 loan events with key=loan_id, consume with 2 consumers, confirm per-key ordering.</t>
        </is>
      </c>
      <c r="F15" s="2" t="inlineStr">
        <is>
          <t>Why key by business id? What does consumer-group rebalance do? How do you replay?</t>
        </is>
      </c>
      <c r="G15" s="2" t="inlineStr">
        <is>
          <t>Not yet built (needs Docker)</t>
        </is>
      </c>
      <c r="H15" s="2" t="inlineStr"/>
      <c r="I15" s="2" t="inlineStr"/>
    </row>
    <row r="16">
      <c r="A16" s="2" t="n">
        <v>15</v>
      </c>
      <c r="B16" s="2" t="inlineStr">
        <is>
          <t>Streaming</t>
        </is>
      </c>
      <c r="C16" s="2" t="inlineStr">
        <is>
          <t>CDC with Debezium</t>
        </is>
      </c>
      <c r="D16" s="2" t="inlineStr">
        <is>
          <t>docs/03-architecture.md ADR-1</t>
        </is>
      </c>
      <c r="E16" s="2" t="inlineStr">
        <is>
          <t>Update a row in Postgres; watch the event; find the LSN in the payload.</t>
        </is>
      </c>
      <c r="F16" s="2" t="inlineStr">
        <is>
          <t>CDC vs dual-write vs polling? What happens if the connector is down for an hour?</t>
        </is>
      </c>
      <c r="G16" s="2" t="inlineStr">
        <is>
          <t>Not yet built (needs Docker)</t>
        </is>
      </c>
      <c r="H16" s="2" t="inlineStr"/>
      <c r="I16" s="2" t="inlineStr"/>
    </row>
    <row r="17">
      <c r="A17" s="2" t="n">
        <v>16</v>
      </c>
      <c r="B17" s="2" t="inlineStr">
        <is>
          <t>Streaming</t>
        </is>
      </c>
      <c r="C17" s="2" t="inlineStr">
        <is>
          <t>Retries, DLQ, backpressure</t>
        </is>
      </c>
      <c r="D17" s="2" t="inlineStr">
        <is>
          <t>docs/contracts/kafka-events.md (DLQ envelope)</t>
        </is>
      </c>
      <c r="E17" s="2" t="inlineStr">
        <is>
          <t>Inject a poison message; confirm 5 retries then DLQ, then replay it after the fix.</t>
        </is>
      </c>
      <c r="F17" s="2" t="inlineStr">
        <is>
          <t>How do you handle poison messages? How do you prevent a retry storm?</t>
        </is>
      </c>
      <c r="G17" s="2" t="inlineStr">
        <is>
          <t>Partially: AI-client retry with exponential backoff, 4xx not retried, then 502 (HttpAiClientRetryTest); restartable per-batch transactions. DLQ and backpressure need Kafka (blocked). Interview angle: retry only idempotent/transient failures; cap attempts; always surface the final error. Also proven: concurrent transition race gives exactly one winner (optimistic UPDATE ... WHERE STATE=?), others get 409.</t>
        </is>
      </c>
      <c r="H17" s="2" t="inlineStr"/>
      <c r="I17" s="2" t="inlineStr"/>
    </row>
    <row r="18">
      <c r="A18" s="2" t="n">
        <v>17</v>
      </c>
      <c r="B18" s="2" t="inlineStr">
        <is>
          <t>Reconciliation</t>
        </is>
      </c>
      <c r="C18" s="2" t="inlineStr">
        <is>
          <t>Reconciliation &amp; shadow reads</t>
        </is>
      </c>
      <c r="D18" s="2" t="inlineStr">
        <is>
          <t>BulkLoaderTest invariant read = loaded + quarantined</t>
        </is>
      </c>
      <c r="E18" s="2" t="inlineStr">
        <is>
          <t>Build a SUM(amount) comparison between legacy CSV and Oracle; deliberately corrupt one row and detect it.</t>
        </is>
      </c>
      <c r="F18" s="2" t="inlineStr">
        <is>
          <t>How do you prove a migration is correct? What do you do about differences?</t>
        </is>
      </c>
      <c r="G18" s="2" t="inlineStr">
        <is>
          <t>Done: counts, sums and field-level shadow diff gating READY</t>
        </is>
      </c>
      <c r="H18" s="2" t="inlineStr"/>
      <c r="I18" s="2" t="inlineStr"/>
    </row>
    <row r="19">
      <c r="A19" s="2" t="n">
        <v>18</v>
      </c>
      <c r="B19" s="2" t="inlineStr">
        <is>
          <t>AI</t>
        </is>
      </c>
      <c r="C19" s="2" t="inlineStr">
        <is>
          <t>LLM tool-calling &amp; RAG</t>
        </is>
      </c>
      <c r="D19" s="2" t="inlineStr">
        <is>
          <t>ai-service/app/agent/{tools,diagnose,evals}.py, app/main.py (POST /agent/diagnose), console/src/DiagnosePanel.tsx</t>
        </is>
      </c>
      <c r="E19" s="2" t="inlineStr">
        <is>
          <t>Build one read-only tool (get_exception_summary) and let an LLM call it.</t>
        </is>
      </c>
      <c r="F19" s="2" t="inlineStr">
        <is>
          <t>How do you stop an agent doing something unsafe? RAG vs fine-tuning? What goes in an eval set?</t>
        </is>
      </c>
      <c r="G19" s="2" t="inlineStr">
        <is>
          <t>Done (rules-first). Corners: allow-list of 6 GET-only tools, no write tool exists; 404/502 mapping; partial failures kept as evidence.errors; proposals always need approval; UI shows read-only banner; Ollama 0.40.4 installed locally but model pull blocked by corporate Zscaler (403 on registry.ollama.ai), so no real LLM tried yet. Client has a unit test for the Bearer header/model/temperature=0. Trace: UI button -&gt; /ai proxy -&gt; FastAPI -&gt; GET calls to orchestrator -&gt; rules -&gt; JSON -&gt; panel.</t>
        </is>
      </c>
      <c r="H19" s="2" t="inlineStr"/>
      <c r="I19" s="2" t="inlineStr"/>
    </row>
    <row r="20">
      <c r="A20" s="2" t="n">
        <v>19</v>
      </c>
      <c r="B20" s="2" t="inlineStr">
        <is>
          <t>AI</t>
        </is>
      </c>
      <c r="C20" s="2" t="inlineStr">
        <is>
          <t>Evals &amp; guardrails</t>
        </is>
      </c>
      <c r="D20" s="2" t="inlineStr">
        <is>
          <t>docs/03-architecture.md ADR-4</t>
        </is>
      </c>
      <c r="E20" s="2" t="inlineStr">
        <is>
          <t>Create 10 seeded failures with known root causes and score the agent.</t>
        </is>
      </c>
      <c r="F20" s="2" t="inlineStr">
        <is>
          <t>How do you measure an AI feature before production? PII in prompts?</t>
        </is>
      </c>
      <c r="G20" s="2" t="inlineStr">
        <is>
          <t>Done. Corners: 16 seeded scenarios incl. UNKNOWN/NO_ISSUE negatives, 100% score; abstain instead of guess; LLM prompt excludes row data; LLM failure falls back to rules; symptom length cap 500 (422); UI warns when UNKNOWN. Not covered: real-LLM drift, adversarial symptom text.</t>
        </is>
      </c>
      <c r="H20" s="2" t="inlineStr"/>
      <c r="I20" s="2" t="inlineStr"/>
    </row>
    <row r="21">
      <c r="A21" s="2" t="n">
        <v>20</v>
      </c>
      <c r="B21" s="2" t="inlineStr">
        <is>
          <t>Frontend</t>
        </is>
      </c>
      <c r="C21" s="2" t="inlineStr">
        <is>
          <t>React + TypeScript + dev proxy</t>
        </is>
      </c>
      <c r="D21" s="2" t="inlineStr">
        <is>
          <t>console/src/App.tsx, vite.config.ts</t>
        </is>
      </c>
      <c r="E21" s="2" t="inlineStr">
        <is>
          <t>Add an exceptions table that calls /orchestrator/api/runs/{id}/exceptions.</t>
        </is>
      </c>
      <c r="F21" s="2" t="inlineStr">
        <is>
          <t>How does the dev proxy avoid CORS? Controlled vs uncontrolled state? Error/loading states?</t>
        </is>
      </c>
      <c r="G21" s="2" t="inlineStr">
        <is>
          <t>Mostly done: runs/recon/exceptions/mapping review/Diagnose panel, 19 tests. Corners: errors shown with role=alert; buttons disabled while busy; api failures typed via ApiError; import type + no enums (erasableSyntaxOnly); two proxies /orchestrator and /ai; mocked-api tests with vi.mock. Polling: 5s setInterval with cleanup, stops on terminal states, tested with fake timers. Gap: no e2e/browser test. UX: stepper mirrors the server state machine (runState.ts); badge colour by outcome; keyboard focus styles. E2E: Playwright (webServer array boots 3 services, channel msedge) covers create/advance/diagnose in a real browser. Gap: no CI job for e2e yet.</t>
        </is>
      </c>
      <c r="H21" s="2" t="inlineStr"/>
      <c r="I21" s="2" t="inlineStr"/>
    </row>
    <row r="22">
      <c r="A22" s="2" t="n">
        <v>21</v>
      </c>
      <c r="B22" s="2" t="inlineStr">
        <is>
          <t>Quality</t>
        </is>
      </c>
      <c r="C22" s="2" t="inlineStr">
        <is>
          <t>Testing strategy (unit, integration, fixtures)</t>
        </is>
      </c>
      <c r="D22" s="2" t="inlineStr">
        <is>
          <t>src/test/... , ai-service/tests</t>
        </is>
      </c>
      <c r="E22" s="2" t="inlineStr">
        <is>
          <t>Add a test that fails if a new cleansing rule is added without a quarantine reason.</t>
        </is>
      </c>
      <c r="F22" s="2" t="inlineStr">
        <is>
          <t>Test pyramid? What did your tests catch? (Answer: the NUMBER(14,2) YAML bug.)</t>
        </is>
      </c>
      <c r="G22" s="2" t="inlineStr">
        <is>
          <t>Done: pyramid of 75 checks + 16 evals (docs/05). Corners: unique H2 db per test class, MockMvc vs real HTTP, fake HTTP server for LLM and AI-client tests, Playwright e2e. Gaps: no contract/load/concurrency tests, nothing on real Oracle.</t>
        </is>
      </c>
      <c r="H22" s="2" t="inlineStr"/>
      <c r="I22" s="2" t="inlineStr"/>
    </row>
    <row r="23">
      <c r="A23" s="2" t="n">
        <v>22</v>
      </c>
      <c r="B23" s="2" t="inlineStr">
        <is>
          <t>Quality</t>
        </is>
      </c>
      <c r="C23" s="2" t="inlineStr">
        <is>
          <t>CI pipelines</t>
        </is>
      </c>
      <c r="D23" s="2" t="inlineStr">
        <is>
          <t>.github/workflows/ci.yml</t>
        </is>
      </c>
      <c r="E23" s="2" t="inlineStr">
        <is>
          <t>Push to GitHub, break a test on purpose, read the failing run.</t>
        </is>
      </c>
      <c r="F23" s="2" t="inlineStr">
        <is>
          <t>What belongs in CI? How do you keep builds fast and reliable?</t>
        </is>
      </c>
      <c r="G23" s="2" t="inlineStr">
        <is>
          <t>File done, never run on GitHub: 4 jobs (orchestrator, ai-service, console, e2e with Playwright Chromium). Corner: e2e config uses installed Edge locally and Chromium when CI=true.</t>
        </is>
      </c>
      <c r="H23" s="2" t="inlineStr"/>
      <c r="I23" s="2" t="inlineStr"/>
    </row>
    <row r="24">
      <c r="A24" s="2" t="n">
        <v>23</v>
      </c>
      <c r="B24" s="2" t="inlineStr">
        <is>
          <t>Ops</t>
        </is>
      </c>
      <c r="C24" s="2" t="inlineStr">
        <is>
          <t>Observability (logs, metrics, traces, alerts)</t>
        </is>
      </c>
      <c r="D24" s="2" t="inlineStr">
        <is>
          <t>actuator endpoints in application.yml</t>
        </is>
      </c>
      <c r="E24" s="2" t="inlineStr">
        <is>
          <t>Add a custom Micrometer counter 'rows_quarantined' and graph it.</t>
        </is>
      </c>
      <c r="F24" s="2" t="inlineStr">
        <is>
          <t>Which metrics would you alert on during a cutover? Logs vs metrics vs traces?</t>
        </is>
      </c>
      <c r="G24" s="2" t="inlineStr">
        <is>
          <t>Partially: Micrometer counters/timer with tags, asserted in MetricsTest, visible at /actuator/metrics. Corners: count after commit; keep tag values bounded (reason codes, not ids) to avoid cardinality blowups. Not built: export, dashboards, traces, alerts.</t>
        </is>
      </c>
      <c r="H24" s="2" t="inlineStr"/>
      <c r="I24" s="2" t="inlineStr"/>
    </row>
    <row r="25">
      <c r="A25" s="2" t="n">
        <v>24</v>
      </c>
      <c r="B25" s="2" t="inlineStr">
        <is>
          <t>Ops</t>
        </is>
      </c>
      <c r="C25" s="2" t="inlineStr">
        <is>
          <t>Containers &amp; local infra</t>
        </is>
      </c>
      <c r="D25" s="2" t="inlineStr">
        <is>
          <t>docker-compose.yml</t>
        </is>
      </c>
      <c r="E25" s="2" t="inlineStr">
        <is>
          <t>Install Docker, run compose, connect to Oracle and Postgres with a client.</t>
        </is>
      </c>
      <c r="F25" s="2" t="inlineStr">
        <is>
          <t>Image vs container? How do you debug a service that works locally but not in the customer environment?</t>
        </is>
      </c>
      <c r="G25" s="2" t="inlineStr">
        <is>
          <t>Not yet built (Docker missing)</t>
        </is>
      </c>
      <c r="H25" s="2" t="inlineStr"/>
      <c r="I25" s="2" t="inlineStr"/>
    </row>
    <row r="26">
      <c r="A26" s="2" t="n">
        <v>25</v>
      </c>
      <c r="B26" s="2" t="inlineStr">
        <is>
          <t>Security</t>
        </is>
      </c>
      <c r="C26" s="2" t="inlineStr">
        <is>
          <t>Multi-tenancy, secrets, PII</t>
        </is>
      </c>
      <c r="D26" s="2" t="inlineStr">
        <is>
          <t>TENANT_ID columns, env-based credentials</t>
        </is>
      </c>
      <c r="E26" s="2" t="inlineStr">
        <is>
          <t>Prove one tenant's query can never see another tenant's rows; mask PII in logs.</t>
        </is>
      </c>
      <c r="F26" s="2" t="inlineStr">
        <is>
          <t>Tenant isolation strategies? How do you handle secrets and PII in a customer environment?</t>
        </is>
      </c>
      <c r="G26" s="2" t="inlineStr">
        <is>
          <t>Partially: authentication and roles built and tested (SecurityApiTest, e2e wrong-password), secrets from env with no defaults, PII-free prompts, no RAW_PAYLOAD in API, approval gates, audit, parameterised SQL; review docs/06 (S1, S2 closed in code). Still open: OIDC/JWT for production. Cross-tenant isolation now tested (TenantIsolationTest: same legacy files for two tenants do not mix; tampering in one tenant never appears in another tenant shadow diff, reconciliation scoped per tenant).</t>
        </is>
      </c>
      <c r="H26" s="2" t="inlineStr"/>
      <c r="I26" s="2" t="inlineStr">
        <is>
          <t>STAR: Situation: approvals were a typed name, so nobody could be held accountable. Task: add real authn/z fast without a customer IdP. Action: stateless Basic auth, 4 roles, actor taken from the login (request-body names ignored), env-only secrets, READER service account for the agent, cross-tenant tests. Result: S1/S2 closed in code; found that a 401 with WWW-Authenticate hangs browser fetch (headless e2e caught it), so the API returns a bare 401 and the UI verifies at sign-in. Next: OIDC/JWT.</t>
        </is>
      </c>
    </row>
    <row r="27">
      <c r="A27" s="2" t="n">
        <v>26</v>
      </c>
      <c r="B27" s="2" t="inlineStr">
        <is>
          <t>FDE core</t>
        </is>
      </c>
      <c r="C27" s="2" t="inlineStr">
        <is>
          <t>Cutover, rollback &amp; runbooks</t>
        </is>
      </c>
      <c r="D27" s="2" t="inlineStr">
        <is>
          <t>docs (runbook pending)</t>
        </is>
      </c>
      <c r="E27" s="2" t="inlineStr">
        <is>
          <t>Write a one-page cutover runbook and rehearse a rollback.</t>
        </is>
      </c>
      <c r="F27" s="2" t="inlineStr">
        <is>
          <t>Walk me through a zero-downtime cutover. When do you abort?</t>
        </is>
      </c>
      <c r="G27" s="2" t="inlineStr">
        <is>
          <t>Done on H2: runbook, 3 pre-checks, approval gate, rollback drill with audit trail. Corners: rollback only from FREEZE..MONITOR; ROLLED_BACK terminal; READY needs clean shadow diff. Missing: feature flags, real switch, CDC final sync.</t>
        </is>
      </c>
      <c r="H27" s="2" t="inlineStr"/>
      <c r="I27" s="2" t="inlineStr"/>
    </row>
    <row r="28">
      <c r="A28" s="2" t="n">
        <v>27</v>
      </c>
      <c r="B28" s="2" t="inlineStr">
        <is>
          <t>FDE core</t>
        </is>
      </c>
      <c r="C28" s="2" t="inlineStr">
        <is>
          <t>Customer communication &amp; handover</t>
        </is>
      </c>
      <c r="D28" s="2" t="inlineStr">
        <is>
          <t>docs (signoff pack pending)</t>
        </is>
      </c>
      <c r="E28" s="2" t="inlineStr">
        <is>
          <t>Write a status update to a non-technical COO after a failed load.</t>
        </is>
      </c>
      <c r="F28" s="2" t="inlineStr">
        <is>
          <t>How do you explain a delay or failure to a customer? What is in a handover pack?</t>
        </is>
      </c>
      <c r="G28" s="2" t="inlineStr">
        <is>
          <t>Done (docs): COO status update, failure-update template, signoff checklist with honest open items in docs/07. Interview angle: say what is proven, what is not, what you need from the customer, and do not promise a date before the Oracle rehearsal. Final pack: docs/07 signoff checklist (13 items, CI green on GitHub, 89 automated checks) and docs/08-demo-script.md. Demo-ready, not production-ready.</t>
        </is>
      </c>
      <c r="H28" s="2" t="inlineStr"/>
      <c r="I28" s="2" t="inlineStr"/>
    </row>
  </sheetData>
  <dataValidations count="1">
    <dataValidation sqref="H2:H28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6" customWidth="1" min="6" max="6"/>
  </cols>
  <sheetData>
    <row r="1">
      <c r="A1" s="1" t="inlineStr">
        <is>
          <t>Phase</t>
        </is>
      </c>
      <c r="B1" s="1" t="inlineStr">
        <is>
          <t>Total</t>
        </is>
      </c>
      <c r="C1" s="1" t="inlineStr">
        <is>
          <t>Done</t>
        </is>
      </c>
      <c r="D1" s="1" t="inlineStr">
        <is>
          <t>% Complete</t>
        </is>
      </c>
      <c r="F1" s="5" t="inlineStr">
        <is>
          <t>Learning avg confidence</t>
        </is>
      </c>
    </row>
    <row r="2">
      <c r="A2" t="inlineStr">
        <is>
          <t>Discover</t>
        </is>
      </c>
      <c r="B2">
        <f>COUNTIF(Roadmap!C:C,A2)</f>
        <v/>
      </c>
      <c r="C2">
        <f>COUNTIFS(Roadmap!C:C,A2,Roadmap!G:G,"Done")</f>
        <v/>
      </c>
      <c r="D2" s="3">
        <f>IF(B2=0,0,C2/B2)</f>
        <v/>
      </c>
      <c r="F2">
        <f>IFERROR(AVERAGE('Learning Trace'!H2:H28),"not rated")</f>
        <v/>
      </c>
    </row>
    <row r="3">
      <c r="A3" t="inlineStr">
        <is>
          <t>Design</t>
        </is>
      </c>
      <c r="B3">
        <f>COUNTIF(Roadmap!C:C,A3)</f>
        <v/>
      </c>
      <c r="C3">
        <f>COUNTIFS(Roadmap!C:C,A3,Roadmap!G:G,"Done")</f>
        <v/>
      </c>
      <c r="D3" s="3">
        <f>IF(B3=0,0,C3/B3)</f>
        <v/>
      </c>
      <c r="F3" s="5" t="inlineStr">
        <is>
          <t>Topics rated</t>
        </is>
      </c>
    </row>
    <row r="4">
      <c r="A4" t="inlineStr">
        <is>
          <t>Build</t>
        </is>
      </c>
      <c r="B4">
        <f>COUNTIF(Roadmap!C:C,A4)</f>
        <v/>
      </c>
      <c r="C4">
        <f>COUNTIFS(Roadmap!C:C,A4,Roadmap!G:G,"Done")</f>
        <v/>
      </c>
      <c r="D4" s="3">
        <f>IF(B4=0,0,C4/B4)</f>
        <v/>
      </c>
      <c r="F4">
        <f>COUNT('Learning Trace'!H2:H28)&amp;" of 27"</f>
        <v/>
      </c>
    </row>
    <row r="5">
      <c r="A5" t="inlineStr">
        <is>
          <t>Test</t>
        </is>
      </c>
      <c r="B5">
        <f>COUNTIF(Roadmap!C:C,A5)</f>
        <v/>
      </c>
      <c r="C5">
        <f>COUNTIFS(Roadmap!C:C,A5,Roadmap!G:G,"Done")</f>
        <v/>
      </c>
      <c r="D5" s="3">
        <f>IF(B5=0,0,C5/B5)</f>
        <v/>
      </c>
    </row>
    <row r="6">
      <c r="A6" t="inlineStr">
        <is>
          <t>Signoff</t>
        </is>
      </c>
      <c r="B6">
        <f>COUNTIF(Roadmap!C:C,A6)</f>
        <v/>
      </c>
      <c r="C6">
        <f>COUNTIFS(Roadmap!C:C,A6,Roadmap!G:G,"Done")</f>
        <v/>
      </c>
      <c r="D6" s="3">
        <f>IF(B6=0,0,C6/B6)</f>
        <v/>
      </c>
    </row>
    <row r="7">
      <c r="A7" t="inlineStr">
        <is>
          <t>Overall</t>
        </is>
      </c>
      <c r="B7">
        <f>SUM(B2:B6)</f>
        <v/>
      </c>
      <c r="C7">
        <f>SUM(C2:C6)</f>
        <v/>
      </c>
      <c r="D7" s="3">
        <f>IF(B7=0,0,C7/B7)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30" customWidth="1" min="3" max="3"/>
    <col width="36" customWidth="1" min="4" max="4"/>
    <col width="18" customWidth="1" min="5" max="5"/>
    <col width="60" customWidth="1" min="6" max="6"/>
    <col width="60" customWidth="1" min="7" max="7"/>
  </cols>
  <sheetData>
    <row r="1">
      <c r="A1" s="6" t="inlineStr">
        <is>
          <t>#</t>
        </is>
      </c>
      <c r="B1" s="6" t="inlineStr">
        <is>
          <t>Pending item</t>
        </is>
      </c>
      <c r="C1" s="6" t="inlineStr">
        <is>
          <t>Requirement</t>
        </is>
      </c>
      <c r="D1" s="6" t="inlineStr">
        <is>
          <t>Blocked by</t>
        </is>
      </c>
      <c r="E1" s="6" t="inlineStr">
        <is>
          <t>Type</t>
        </is>
      </c>
      <c r="F1" s="6" t="inlineStr">
        <is>
          <t>What is needed to finish</t>
        </is>
      </c>
      <c r="G1" s="6" t="inlineStr">
        <is>
          <t>Current workaround / what is proven</t>
        </is>
      </c>
    </row>
    <row r="2">
      <c r="A2" s="2" t="n">
        <v>1</v>
      </c>
      <c r="B2" s="2" t="inlineStr">
        <is>
          <t>Run against real Oracle target</t>
        </is>
      </c>
      <c r="C2" s="2" t="inlineStr">
        <is>
          <t>Goal G1/G2, FR3, FR6</t>
        </is>
      </c>
      <c r="D2" s="2" t="inlineStr">
        <is>
          <t>Docker not installed</t>
        </is>
      </c>
      <c r="E2" s="2" t="inlineStr">
        <is>
          <t>Install</t>
        </is>
      </c>
      <c r="F2" s="2" t="inlineStr">
        <is>
          <t>Docker Desktop, Oracle XE container, point TARGET_DB_URL at it, rerun the test suite and load</t>
        </is>
      </c>
      <c r="G2" s="2" t="inlineStr">
        <is>
          <t>All logic proven on H2 in Oracle mode (66k-row run, reconciliation ties out)</t>
        </is>
      </c>
    </row>
    <row r="3">
      <c r="A3" s="2" t="n">
        <v>2</v>
      </c>
      <c r="B3" s="2" t="inlineStr">
        <is>
          <t>CDC via Kafka and Debezium, final sync</t>
        </is>
      </c>
      <c r="C3" s="2" t="inlineStr">
        <is>
          <t>FR4, FR9, NFR lag p95 &lt; 5 s</t>
        </is>
      </c>
      <c r="D3" s="2" t="inlineStr">
        <is>
          <t>Docker not installed</t>
        </is>
      </c>
      <c r="E3" s="2" t="inlineStr">
        <is>
          <t>Install</t>
        </is>
      </c>
      <c r="F3" s="2" t="inlineStr">
        <is>
          <t>Docker Compose with PostgreSQL, Kafka, Debezium; build the consumer and final-sync step</t>
        </is>
      </c>
      <c r="G3" s="2" t="inlineStr">
        <is>
          <t>Event contract in docs/contracts/kafka-events.md; state machine and pre-checks already gate FINAL_SYNC</t>
        </is>
      </c>
    </row>
    <row r="4">
      <c r="A4" s="2" t="n">
        <v>3</v>
      </c>
      <c r="B4" s="2" t="inlineStr">
        <is>
          <t>PostgreSQL as the legacy source</t>
        </is>
      </c>
      <c r="C4" s="2" t="inlineStr">
        <is>
          <t>Decision 1 in docs/01</t>
        </is>
      </c>
      <c r="D4" s="2" t="inlineStr">
        <is>
          <t>Docker not installed</t>
        </is>
      </c>
      <c r="E4" s="2" t="inlineStr">
        <is>
          <t>Install</t>
        </is>
      </c>
      <c r="F4" s="2" t="inlineStr">
        <is>
          <t>PostgreSQL container and a source reader</t>
        </is>
      </c>
      <c r="G4" s="2" t="inlineStr">
        <is>
          <t>Legacy data is read from CSV files</t>
        </is>
      </c>
    </row>
    <row r="5">
      <c r="A5" s="2" t="n">
        <v>4</v>
      </c>
      <c r="B5" s="2" t="inlineStr">
        <is>
          <t>Real LLM for mapping and diagnosis quality</t>
        </is>
      </c>
      <c r="C5" s="2" t="inlineStr">
        <is>
          <t>Goal G4 (measured on a real model)</t>
        </is>
      </c>
      <c r="D5" s="2" t="inlineStr">
        <is>
          <t>Corporate web filter (Zscaler) blocks model download</t>
        </is>
      </c>
      <c r="E5" s="2" t="inlineStr">
        <is>
          <t>Access / IT</t>
        </is>
      </c>
      <c r="F5" s="2" t="inlineStr">
        <is>
          <t>Allow registry.ollama.ai or provide a hosted OpenAI-compatible endpoint and key</t>
        </is>
      </c>
      <c r="G5" s="2" t="inlineStr">
        <is>
          <t>Rule-based agent scores 16/16 on evals; HTTP LLM path tested against a fake server; Ollama is installed</t>
        </is>
      </c>
    </row>
    <row r="6">
      <c r="A6" s="2" t="n">
        <v>5</v>
      </c>
      <c r="B6" s="2" t="inlineStr">
        <is>
          <t>OIDC/JWT single sign-on</t>
        </is>
      </c>
      <c r="C6" s="2" t="inlineStr">
        <is>
          <t>NFR role-based access</t>
        </is>
      </c>
      <c r="D6" s="2" t="inlineStr">
        <is>
          <t>Needs an identity provider</t>
        </is>
      </c>
      <c r="E6" s="2" t="inlineStr">
        <is>
          <t>Access / IT</t>
        </is>
      </c>
      <c r="F6" s="2" t="inlineStr">
        <is>
          <t>IdP details (issuer, client), swap Basic auth for resource-server JWT</t>
        </is>
      </c>
      <c r="G6" s="2" t="inlineStr">
        <is>
          <t>Basic auth, 4 roles, actor from login, tested</t>
        </is>
      </c>
    </row>
    <row r="7">
      <c r="A7" s="2" t="n">
        <v>6</v>
      </c>
      <c r="B7" s="2" t="inlineStr">
        <is>
          <t>Throughput proof (&gt;= 5k rows/s) and CDC lag</t>
        </is>
      </c>
      <c r="C7" s="2" t="inlineStr">
        <is>
          <t>NFR throughput</t>
        </is>
      </c>
      <c r="D7" s="2" t="inlineStr">
        <is>
          <t>Needs Oracle and a production-size run</t>
        </is>
      </c>
      <c r="E7" s="2" t="inlineStr">
        <is>
          <t>Install</t>
        </is>
      </c>
      <c r="F7" s="2" t="inlineStr">
        <is>
          <t>Run the 400k-loan / 6M-payment load on the real target</t>
        </is>
      </c>
      <c r="G7" s="2" t="inlineStr">
        <is>
          <t>66k rows measured on H2 only</t>
        </is>
      </c>
    </row>
    <row r="8">
      <c r="A8" s="2" t="n">
        <v>7</v>
      </c>
      <c r="B8" s="2" t="inlineStr">
        <is>
          <t>DLQ and replay view in the console</t>
        </is>
      </c>
      <c r="C8" s="2" t="inlineStr">
        <is>
          <t>FR9, FR11</t>
        </is>
      </c>
      <c r="D8" s="2" t="inlineStr">
        <is>
          <t>Depends on item 2 (no DLQ exists without Kafka)</t>
        </is>
      </c>
      <c r="E8" s="2" t="inlineStr">
        <is>
          <t>Build after item 2</t>
        </is>
      </c>
      <c r="F8" s="2" t="inlineStr">
        <is>
          <t>DLQ API plus console panel</t>
        </is>
      </c>
      <c r="G8" s="2" t="inlineStr">
        <is>
          <t>Exceptions (quarantined rows), reconciliation, profile, diagnose panels exist</t>
        </is>
      </c>
    </row>
    <row r="9">
      <c r="A9" s="2" t="n">
        <v>8</v>
      </c>
      <c r="B9" s="2" t="inlineStr">
        <is>
          <t>Agent chat and traces/alerts</t>
        </is>
      </c>
      <c r="C9" s="2" t="inlineStr">
        <is>
          <t>FR11, NFR observability</t>
        </is>
      </c>
      <c r="D9" s="2" t="inlineStr">
        <is>
          <t>Time; traces need a collector (install)</t>
        </is>
      </c>
      <c r="E9" s="2" t="inlineStr">
        <is>
          <t>Build / Install</t>
        </is>
      </c>
      <c r="F9" s="2" t="inlineStr">
        <is>
          <t>Chat UI, OpenTelemetry collector, alert rules</t>
        </is>
      </c>
      <c r="G9" s="2" t="inlineStr">
        <is>
          <t>Metrics (Micrometer) and a single-question diagnose panel</t>
        </is>
      </c>
    </row>
    <row r="10">
      <c r="A10" s="2" t="n">
        <v>9</v>
      </c>
      <c r="B10" s="2" t="inlineStr">
        <is>
          <t>Body-schema contract tests, PII masking check in logs</t>
        </is>
      </c>
      <c r="C10" s="2" t="inlineStr">
        <is>
          <t>NFR security, G2</t>
        </is>
      </c>
      <c r="D10" s="2" t="inlineStr">
        <is>
          <t>Time only</t>
        </is>
      </c>
      <c r="E10" s="2" t="inlineStr">
        <is>
          <t>Build</t>
        </is>
      </c>
      <c r="F10" s="2" t="inlineStr">
        <is>
          <t>Validate bodies against OpenAPI; scan logs for PII</t>
        </is>
      </c>
      <c r="G10" s="2" t="inlineStr">
        <is>
          <t>Endpoint-level contract test; PII-free prompts and API</t>
        </is>
      </c>
    </row>
    <row r="11">
      <c r="A11" s="2" t="n">
        <v>10</v>
      </c>
      <c r="B11" s="2" t="inlineStr">
        <is>
          <t>Customer approver and negative-amount owner named; sign-off names and dates</t>
        </is>
      </c>
      <c r="C11" s="2" t="inlineStr">
        <is>
          <t>docs/07 checklist item 10</t>
        </is>
      </c>
      <c r="D11" s="2" t="inlineStr">
        <is>
          <t>Needs the business</t>
        </is>
      </c>
      <c r="E11" s="2" t="inlineStr">
        <is>
          <t>Business</t>
        </is>
      </c>
      <c r="F11" s="2" t="inlineStr">
        <is>
          <t>Names from the customer</t>
        </is>
      </c>
      <c r="G11" s="2" t="inlineStr">
        <is>
          <t>Open items listed in docs/07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2026-10-14T12:20:16Z</dcterms:created>
  <dcterms:modified xmlns:dcterms="http://purl.org/dc/terms/" xmlns:xsi="http://www.w3.org/2001/XMLSchema-instance" xsi:type="dcterms:W3CDTF">2026-10-14T18:10:44Z</dcterms:modified>
</cp:coreProperties>
</file>